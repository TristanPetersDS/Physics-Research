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lo/Manoa/Research/Projects/CFND/parallel/data12/"/>
    </mc:Choice>
  </mc:AlternateContent>
  <xr:revisionPtr revIDLastSave="0" documentId="13_ncr:1_{F6F4BC9C-D93E-6E48-B80E-74A112B7C57D}" xr6:coauthVersionLast="47" xr6:coauthVersionMax="47" xr10:uidLastSave="{00000000-0000-0000-0000-000000000000}"/>
  <bookViews>
    <workbookView xWindow="4100" yWindow="680" windowWidth="24960" windowHeight="17260" xr2:uid="{FF09DC15-2ED3-7D4C-BB9B-5C8DBD9D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G6" i="1"/>
  <c r="G5" i="1"/>
  <c r="G4" i="1"/>
  <c r="G3" i="1"/>
  <c r="G2" i="1"/>
  <c r="F6" i="1"/>
  <c r="F3" i="1"/>
  <c r="F4" i="1"/>
  <c r="F5" i="1"/>
  <c r="F2" i="1"/>
</calcChain>
</file>

<file path=xl/sharedStrings.xml><?xml version="1.0" encoding="utf-8"?>
<sst xmlns="http://schemas.openxmlformats.org/spreadsheetml/2006/main" count="7" uniqueCount="7">
  <si>
    <t>Counts</t>
  </si>
  <si>
    <t>dx = 50</t>
  </si>
  <si>
    <t>dx = 150</t>
  </si>
  <si>
    <t>dx = 5</t>
  </si>
  <si>
    <t>dx = 5 err</t>
  </si>
  <si>
    <t>dx = 50 err</t>
  </si>
  <si>
    <t>dx = 150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</si>
</sst>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Angular uncertainty test using RATPAC2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dx = 5mm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Sheet1!$F$2:$F$6</c:f>
                <c:numCache>
                  <c:formatCode>General</c:formatCode>
                  <c:ptCount val="5"/>
                  <c:pt idx="0">
                    <c:v>0.55736986421099</c:v>
                  </c:pt>
                  <c:pt idx="1">
                    <c:v>0.94241260601520649</c:v>
                  </c:pt>
                  <c:pt idx="2">
                    <c:v>1.5022037883102681</c:v>
                  </c:pt>
                  <c:pt idx="3">
                    <c:v>1.4900526090468968</c:v>
                  </c:pt>
                  <c:pt idx="4">
                    <c:v>1.0677579310451901</c:v>
                  </c:pt>
                </c:numCache>
              </c:numRef>
            </c:plus>
            <c:minus>
              <c:numRef>
                <c:f>Sheet1!$F$2:$F$6</c:f>
                <c:numCache>
                  <c:formatCode>General</c:formatCode>
                  <c:ptCount val="5"/>
                  <c:pt idx="0">
                    <c:v>0.55736986421099</c:v>
                  </c:pt>
                  <c:pt idx="1">
                    <c:v>0.94241260601520649</c:v>
                  </c:pt>
                  <c:pt idx="2">
                    <c:v>1.5022037883102681</c:v>
                  </c:pt>
                  <c:pt idx="3">
                    <c:v>1.4900526090468968</c:v>
                  </c:pt>
                  <c:pt idx="4">
                    <c:v>1.0677579310451901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100</c:v>
                </c:pt>
                <c:pt idx="3">
                  <c:v>300</c:v>
                </c:pt>
                <c:pt idx="4">
                  <c:v>1000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55.736986421098997</c:v>
                </c:pt>
                <c:pt idx="1">
                  <c:v>54.407496598182597</c:v>
                </c:pt>
                <c:pt idx="2">
                  <c:v>47.503854807938701</c:v>
                </c:pt>
                <c:pt idx="3">
                  <c:v>27.190908535450699</c:v>
                </c:pt>
                <c:pt idx="4">
                  <c:v>10.6775793104519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64-D84D-BAB4-53BF2DDD3581}"/>
            </c:ext>
          </c:extLst>
        </c:ser>
        <c:ser>
          <c:idx val="1"/>
          <c:order val="1"/>
          <c:tx>
            <c:v>dx = 50mm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Sheet1!$H$2:$H$6</c:f>
                <c:numCache>
                  <c:formatCode>General</c:formatCode>
                  <c:ptCount val="5"/>
                  <c:pt idx="0">
                    <c:v>0.55832761242578199</c:v>
                  </c:pt>
                  <c:pt idx="1">
                    <c:v>0.92327996428709291</c:v>
                  </c:pt>
                  <c:pt idx="2">
                    <c:v>1.1900378189726175</c:v>
                  </c:pt>
                  <c:pt idx="3">
                    <c:v>1.0419664056561262</c:v>
                  </c:pt>
                  <c:pt idx="4">
                    <c:v>0.94376108077995213</c:v>
                  </c:pt>
                </c:numCache>
              </c:numRef>
            </c:plus>
            <c:minus>
              <c:numRef>
                <c:f>Sheet1!$H$2:$H$6</c:f>
                <c:numCache>
                  <c:formatCode>General</c:formatCode>
                  <c:ptCount val="5"/>
                  <c:pt idx="0">
                    <c:v>0.55832761242578199</c:v>
                  </c:pt>
                  <c:pt idx="1">
                    <c:v>0.92327996428709291</c:v>
                  </c:pt>
                  <c:pt idx="2">
                    <c:v>1.1900378189726175</c:v>
                  </c:pt>
                  <c:pt idx="3">
                    <c:v>1.0419664056561262</c:v>
                  </c:pt>
                  <c:pt idx="4">
                    <c:v>0.94376108077995213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100</c:v>
                </c:pt>
                <c:pt idx="3">
                  <c:v>300</c:v>
                </c:pt>
                <c:pt idx="4">
                  <c:v>1000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53.857761716296601</c:v>
                </c:pt>
                <c:pt idx="1">
                  <c:v>47.1765472510953</c:v>
                </c:pt>
                <c:pt idx="2">
                  <c:v>29.667925505774502</c:v>
                </c:pt>
                <c:pt idx="3">
                  <c:v>15.025296663883701</c:v>
                </c:pt>
                <c:pt idx="4">
                  <c:v>7.9712710789468098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64-D84D-BAB4-53BF2DDD3581}"/>
            </c:ext>
          </c:extLst>
        </c:ser>
        <c:ser>
          <c:idx val="2"/>
          <c:order val="2"/>
          <c:tx>
            <c:v>dx = 150mm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Sheet1!$G$2:$G$6</c:f>
                <c:numCache>
                  <c:formatCode>General</c:formatCode>
                  <c:ptCount val="5"/>
                  <c:pt idx="0">
                    <c:v>0.53857761716296604</c:v>
                  </c:pt>
                  <c:pt idx="1">
                    <c:v>0.81716262679855345</c:v>
                  </c:pt>
                  <c:pt idx="2">
                    <c:v>0.93818218050450375</c:v>
                  </c:pt>
                  <c:pt idx="3">
                    <c:v>0.82338118516834791</c:v>
                  </c:pt>
                  <c:pt idx="4">
                    <c:v>0.797127107894681</c:v>
                  </c:pt>
                </c:numCache>
              </c:numRef>
            </c:plus>
            <c:minus>
              <c:numRef>
                <c:f>Sheet1!$G$2:$G$6</c:f>
                <c:numCache>
                  <c:formatCode>General</c:formatCode>
                  <c:ptCount val="5"/>
                  <c:pt idx="0">
                    <c:v>0.53857761716296604</c:v>
                  </c:pt>
                  <c:pt idx="1">
                    <c:v>0.81716262679855345</c:v>
                  </c:pt>
                  <c:pt idx="2">
                    <c:v>0.93818218050450375</c:v>
                  </c:pt>
                  <c:pt idx="3">
                    <c:v>0.82338118516834791</c:v>
                  </c:pt>
                  <c:pt idx="4">
                    <c:v>0.797127107894681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100</c:v>
                </c:pt>
                <c:pt idx="3">
                  <c:v>300</c:v>
                </c:pt>
                <c:pt idx="4">
                  <c:v>1000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55.832761242578201</c:v>
                </c:pt>
                <c:pt idx="1">
                  <c:v>53.302928245539199</c:v>
                </c:pt>
                <c:pt idx="2">
                  <c:v>37.632300096926102</c:v>
                </c:pt>
                <c:pt idx="3">
                  <c:v>19.0141026304638</c:v>
                </c:pt>
                <c:pt idx="4">
                  <c:v>9.4376108077995209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64-D84D-BAB4-53BF2DDD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40000"/>
        <c:axId val="375604496"/>
      </c:scatterChart>
      <c:valAx>
        <c:axId val="375440000"/>
        <c:scaling>
          <c:logBase val="10"/>
          <c:orientation val="minMax"/>
          <c:max val="1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04496"/>
        <c:crosses val="autoZero"/>
        <c:crossBetween val="midCat"/>
      </c:valAx>
      <c:valAx>
        <c:axId val="3756044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 uncertainty</a:t>
                </a:r>
                <a:r>
                  <a:rPr lang="en-US" baseline="0"/>
                  <a:t> (standard deviation of samples)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4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857849911618187"/>
          <c:y val="0.10149768985488382"/>
          <c:w val="0.35995971932079918"/>
          <c:h val="3.4865946508752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107244</xdr:colOff>
      <xdr:row>4</xdr:row>
      <xdr:rowOff>33865</xdr:rowOff>
    </xdr:from>
    <xdr:to>
      <xdr:col>18</xdr:col>
      <xdr:colOff>406399</xdr:colOff>
      <xdr:row>40</xdr:row>
      <xdr:rowOff>155221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EDD1D-0054-0DDF-B2FD-A21E5E795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27FE-40D4-9C4D-8088-CB5339C48469}">
  <dimension ref="A1:H6"/>
  <sheetViews>
    <sheetView tabSelected="1" zoomScale="90" workbookViewId="0">
      <selection activeCell="B19" sqref="B19"/>
    </sheetView>
  </sheetViews>
  <sheetFormatPr baseColWidth="10" defaultRowHeight="16" x14ac:dyDescent="0.2"/>
  <sheetData>
    <row r="1" spans="1:8" x14ac:dyDescent="0.2">
      <c r="A1" t="s">
        <v>0</v>
      </c>
      <c r="B1" t="s">
        <v>3</v>
      </c>
      <c r="C1" t="s">
        <v>1</v>
      </c>
      <c r="D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10</v>
      </c>
      <c r="B2">
        <v>55.736986421098997</v>
      </c>
      <c r="C2">
        <v>53.857761716296601</v>
      </c>
      <c r="D2">
        <v>55.832761242578201</v>
      </c>
      <c r="F2">
        <f>B2/SQRT(10000)</f>
        <v>0.55736986421099</v>
      </c>
      <c r="G2">
        <f>C2/SQRT(10000)</f>
        <v>0.53857761716296604</v>
      </c>
      <c r="H2">
        <f>D2/SQRT(10000)</f>
        <v>0.55832761242578199</v>
      </c>
    </row>
    <row r="3" spans="1:8" x14ac:dyDescent="0.2">
      <c r="A3">
        <v>30</v>
      </c>
      <c r="B3">
        <v>54.407496598182597</v>
      </c>
      <c r="C3">
        <v>47.1765472510953</v>
      </c>
      <c r="D3">
        <v>53.302928245539199</v>
      </c>
      <c r="F3">
        <f>B3/SQRT(3333)</f>
        <v>0.94241260601520649</v>
      </c>
      <c r="G3">
        <f>C3/SQRT(3333)</f>
        <v>0.81716262679855345</v>
      </c>
      <c r="H3">
        <f>D3/SQRT(3333)</f>
        <v>0.92327996428709291</v>
      </c>
    </row>
    <row r="4" spans="1:8" x14ac:dyDescent="0.2">
      <c r="A4">
        <v>100</v>
      </c>
      <c r="B4">
        <v>47.503854807938701</v>
      </c>
      <c r="C4">
        <v>29.667925505774502</v>
      </c>
      <c r="D4">
        <v>37.632300096926102</v>
      </c>
      <c r="F4">
        <f>B4/SQRT(1000)</f>
        <v>1.5022037883102681</v>
      </c>
      <c r="G4">
        <f>C4/SQRT(1000)</f>
        <v>0.93818218050450375</v>
      </c>
      <c r="H4">
        <f>D4/SQRT(1000)</f>
        <v>1.1900378189726175</v>
      </c>
    </row>
    <row r="5" spans="1:8" x14ac:dyDescent="0.2">
      <c r="A5">
        <v>300</v>
      </c>
      <c r="B5">
        <v>27.190908535450699</v>
      </c>
      <c r="C5">
        <v>15.025296663883701</v>
      </c>
      <c r="D5">
        <v>19.0141026304638</v>
      </c>
      <c r="F5">
        <f>B5/SQRT(333)</f>
        <v>1.4900526090468968</v>
      </c>
      <c r="G5">
        <f>C5/SQRT(333)</f>
        <v>0.82338118516834791</v>
      </c>
      <c r="H5">
        <f>D5/SQRT(333)</f>
        <v>1.0419664056561262</v>
      </c>
    </row>
    <row r="6" spans="1:8" x14ac:dyDescent="0.2">
      <c r="A6">
        <v>1000</v>
      </c>
      <c r="B6">
        <v>10.6775793104519</v>
      </c>
      <c r="C6">
        <v>7.9712710789468098</v>
      </c>
      <c r="D6">
        <v>9.4376108077995209</v>
      </c>
      <c r="F6">
        <f>B6/SQRT(100)</f>
        <v>1.0677579310451901</v>
      </c>
      <c r="G6">
        <f>C6/SQRT(100)</f>
        <v>0.797127107894681</v>
      </c>
      <c r="H6">
        <f>D6/SQRT(100)</f>
        <v>0.94376108077995213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Yepez</dc:creator>
  <cp:lastModifiedBy>Jeffrey Yepez</cp:lastModifiedBy>
  <dcterms:created xsi:type="dcterms:W3CDTF">2025-08-17T06:38:43Z</dcterms:created>
  <dcterms:modified xsi:type="dcterms:W3CDTF">2025-09-29T08:15:56Z</dcterms:modified>
</cp:coreProperties>
</file>